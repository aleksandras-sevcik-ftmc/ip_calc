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QUANTUM\repo\ip_calc\"/>
    </mc:Choice>
  </mc:AlternateContent>
  <xr:revisionPtr revIDLastSave="0" documentId="13_ncr:1_{2090F50F-B879-4184-81E2-9477A7D4321F}" xr6:coauthVersionLast="47" xr6:coauthVersionMax="47" xr10:uidLastSave="{00000000-0000-0000-0000-000000000000}"/>
  <bookViews>
    <workbookView xWindow="14390" yWindow="9880" windowWidth="25630" windowHeight="18420" xr2:uid="{79A1F1A8-DBAF-4DA1-8719-3E1265B508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1" l="1"/>
  <c r="H6" i="1"/>
  <c r="H7" i="1"/>
  <c r="H8" i="1"/>
  <c r="H4" i="1"/>
  <c r="G5" i="1"/>
  <c r="G6" i="1"/>
  <c r="G7" i="1"/>
  <c r="G8" i="1"/>
  <c r="G4" i="1"/>
  <c r="E5" i="1"/>
  <c r="E6" i="1"/>
  <c r="F6" i="1" s="1"/>
  <c r="E7" i="1"/>
  <c r="E8" i="1"/>
  <c r="E4" i="1"/>
  <c r="F4" i="1" s="1"/>
  <c r="F8" i="1" l="1"/>
  <c r="F7" i="1"/>
  <c r="F5" i="1"/>
</calcChain>
</file>

<file path=xl/sharedStrings.xml><?xml version="1.0" encoding="utf-8"?>
<sst xmlns="http://schemas.openxmlformats.org/spreadsheetml/2006/main" count="12" uniqueCount="12">
  <si>
    <t>ZnS</t>
  </si>
  <si>
    <t>CdS</t>
  </si>
  <si>
    <t>ZnIn2S4_cubic</t>
  </si>
  <si>
    <t>ZnAl2S4_cubic</t>
  </si>
  <si>
    <t>ZnGa2S4_tetra</t>
  </si>
  <si>
    <t>Sulphur at 1s</t>
  </si>
  <si>
    <t>Evbm</t>
  </si>
  <si>
    <t>VBM - Core</t>
  </si>
  <si>
    <t>Ecbm</t>
  </si>
  <si>
    <t>Valence Band Offset (VBO) 
ref to ZnS</t>
  </si>
  <si>
    <t>Conduction Band Offset (CBO) 
ref to ZnS</t>
  </si>
  <si>
    <t>CBM - 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</si>
</sst>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badi ExtraLight"/>
      <family val="2"/>
    </font>
    <font>
      <sz val="11"/>
      <color theme="1"/>
      <name val="Abadi ExtraLigh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1" fillId="0" borderId="0" xfId="0" applyFont="1"/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FF59E-7396-400D-A3DD-4F6E3EB2DD54}">
  <dimension ref="A3:H8"/>
  <sheetViews>
    <sheetView tabSelected="1" workbookViewId="0">
      <selection activeCell="G13" sqref="G13"/>
    </sheetView>
  </sheetViews>
  <sheetFormatPr defaultRowHeight="14.5" x14ac:dyDescent="0.35"/>
  <cols>
    <col min="1" max="1" width="18.90625" customWidth="1"/>
    <col min="2" max="3" width="12.81640625" customWidth="1"/>
    <col min="4" max="4" width="15.54296875" customWidth="1"/>
    <col min="5" max="5" width="14.90625" customWidth="1"/>
    <col min="6" max="6" width="26.08984375" customWidth="1"/>
    <col min="7" max="7" width="17.08984375" customWidth="1"/>
    <col min="8" max="8" width="28.54296875" customWidth="1"/>
  </cols>
  <sheetData>
    <row r="3" spans="1:8" ht="41.5" customHeight="1" x14ac:dyDescent="0.35">
      <c r="A3" s="2"/>
      <c r="B3" s="4" t="s">
        <v>6</v>
      </c>
      <c r="C3" s="4" t="s">
        <v>8</v>
      </c>
      <c r="D3" s="4" t="s">
        <v>5</v>
      </c>
      <c r="E3" s="4" t="s">
        <v>7</v>
      </c>
      <c r="F3" s="6" t="s">
        <v>9</v>
      </c>
      <c r="G3" s="4" t="s">
        <v>11</v>
      </c>
      <c r="H3" s="6" t="s">
        <v>10</v>
      </c>
    </row>
    <row r="4" spans="1:8" ht="15" x14ac:dyDescent="0.35">
      <c r="A4" s="5" t="s">
        <v>0</v>
      </c>
      <c r="B4" s="3">
        <v>1.4610000000000001</v>
      </c>
      <c r="C4" s="3">
        <v>5.5979999999999999</v>
      </c>
      <c r="D4" s="3">
        <v>-2396.4704000000002</v>
      </c>
      <c r="E4" s="3">
        <f>B4-D4</f>
        <v>2397.9313999999999</v>
      </c>
      <c r="F4" s="1">
        <f>E4-$E$4</f>
        <v>0</v>
      </c>
      <c r="G4" s="3">
        <f>C4-D4</f>
        <v>2402.0684000000001</v>
      </c>
      <c r="H4" s="1">
        <f>G4-$G$4</f>
        <v>0</v>
      </c>
    </row>
    <row r="5" spans="1:8" ht="15" x14ac:dyDescent="0.35">
      <c r="A5" s="5" t="s">
        <v>1</v>
      </c>
      <c r="B5" s="3">
        <v>0.42299999999999999</v>
      </c>
      <c r="C5" s="3">
        <v>2.6110000000000002</v>
      </c>
      <c r="D5" s="3">
        <v>-2397.3971000000001</v>
      </c>
      <c r="E5" s="3">
        <f t="shared" ref="E5:E8" si="0">B5-D5</f>
        <v>2397.8200999999999</v>
      </c>
      <c r="F5" s="1">
        <f t="shared" ref="F5:F8" si="1">E5-$E$4</f>
        <v>-0.11130000000002838</v>
      </c>
      <c r="G5" s="3">
        <f t="shared" ref="G5:G8" si="2">C5-D5</f>
        <v>2400.0081</v>
      </c>
      <c r="H5" s="1">
        <f t="shared" ref="H5:H8" si="3">G5-$G$4</f>
        <v>-2.0603000000000975</v>
      </c>
    </row>
    <row r="6" spans="1:8" ht="15" x14ac:dyDescent="0.35">
      <c r="A6" s="5" t="s">
        <v>2</v>
      </c>
      <c r="B6" s="3">
        <v>3.532</v>
      </c>
      <c r="C6" s="3">
        <v>5.9370000000000003</v>
      </c>
      <c r="D6" s="3">
        <v>-2394.2087999999999</v>
      </c>
      <c r="E6" s="3">
        <f t="shared" si="0"/>
        <v>2397.7408</v>
      </c>
      <c r="F6" s="1">
        <f t="shared" si="1"/>
        <v>-0.19059999999990396</v>
      </c>
      <c r="G6" s="3">
        <f t="shared" si="2"/>
        <v>2400.1457999999998</v>
      </c>
      <c r="H6" s="1">
        <f t="shared" si="3"/>
        <v>-1.9226000000003296</v>
      </c>
    </row>
    <row r="7" spans="1:8" ht="15" x14ac:dyDescent="0.35">
      <c r="A7" s="5" t="s">
        <v>3</v>
      </c>
      <c r="B7" s="3">
        <v>3.8170000000000002</v>
      </c>
      <c r="C7" s="3">
        <v>7.2519999999999998</v>
      </c>
      <c r="D7" s="3">
        <v>-2393.7328000000002</v>
      </c>
      <c r="E7" s="3">
        <f t="shared" si="0"/>
        <v>2397.5498000000002</v>
      </c>
      <c r="F7" s="1">
        <f t="shared" si="1"/>
        <v>-0.38159999999970751</v>
      </c>
      <c r="G7" s="3">
        <f t="shared" si="2"/>
        <v>2400.9848000000002</v>
      </c>
      <c r="H7" s="1">
        <f t="shared" si="3"/>
        <v>-1.0835999999999331</v>
      </c>
    </row>
    <row r="8" spans="1:8" ht="15" x14ac:dyDescent="0.35">
      <c r="A8" s="5" t="s">
        <v>4</v>
      </c>
      <c r="B8" s="3">
        <v>2.02</v>
      </c>
      <c r="C8" s="3">
        <v>5.5979999999999999</v>
      </c>
      <c r="D8" s="3">
        <v>-2395.8092000000001</v>
      </c>
      <c r="E8" s="3">
        <f t="shared" si="0"/>
        <v>2397.8292000000001</v>
      </c>
      <c r="F8" s="1">
        <f t="shared" si="1"/>
        <v>-0.10219999999981155</v>
      </c>
      <c r="G8" s="3">
        <f t="shared" si="2"/>
        <v>2401.4072000000001</v>
      </c>
      <c r="H8" s="1">
        <f t="shared" si="3"/>
        <v>-0.661200000000008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Ragnarokas Ragnarokas</dc:creator>
  <cp:lastModifiedBy>Ragnarokas Ragnarokas</cp:lastModifiedBy>
  <dcterms:created xsi:type="dcterms:W3CDTF">2026-01-19T19:42:52Z</dcterms:created>
  <dcterms:modified xsi:type="dcterms:W3CDTF">2026-01-19T20:14:31Z</dcterms:modified>
</cp:coreProperties>
</file>